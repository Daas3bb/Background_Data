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<sst xmlns="http://schemas.openxmlformats.org/spreadsheetml/2006/main" count="72" uniqueCount="56">
  <si>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日期</t>
  </si>
  <si>
    <t>VIP等级</t>
  </si>
  <si>
    <t>渠道</t>
  </si>
  <si>
    <t>会员情况</t>
  </si>
  <si>
    <t>充提情况</t>
  </si>
  <si>
    <t>投注情况</t>
  </si>
  <si>
    <t>奖金情况</t>
  </si>
  <si>
    <t>昨日人数</t>
  </si>
  <si>
    <t>今日人数变化</t>
  </si>
  <si>
    <t>总人数</t>
  </si>
  <si>
    <t>当日登录人数</t>
  </si>
  <si>
    <t>充值人数</t>
  </si>
  <si>
    <t>成功充值次数</t>
  </si>
  <si>
    <t>提现人数</t>
  </si>
  <si>
    <t>充值金额</t>
  </si>
  <si>
    <t>提现金额</t>
  </si>
  <si>
    <t>提现次数</t>
  </si>
  <si>
    <t>充值拉单数</t>
  </si>
  <si>
    <t>充值成功单数</t>
  </si>
  <si>
    <t>充值拉单人数</t>
  </si>
  <si>
    <t>拉单支付成功率</t>
  </si>
  <si>
    <t>人均拉单数</t>
  </si>
  <si>
    <t>充值成功率</t>
  </si>
  <si>
    <t>人均充值次数</t>
  </si>
  <si>
    <t>人均提现次数</t>
  </si>
  <si>
    <t>充提差</t>
  </si>
  <si>
    <t>盈余率</t>
  </si>
  <si>
    <t>ARPPU</t>
  </si>
  <si>
    <t>投注人数</t>
  </si>
  <si>
    <t>投注金额</t>
  </si>
  <si>
    <t>游戏输赢</t>
  </si>
  <si>
    <t>RTP</t>
  </si>
  <si>
    <t>人均投注</t>
  </si>
  <si>
    <t>投充比</t>
  </si>
  <si>
    <t>领取奖金</t>
  </si>
  <si>
    <t>奖金比例</t>
  </si>
  <si>
    <t>奖金占比</t>
  </si>
  <si>
    <t>理想盈余率</t>
  </si>
  <si>
    <t>未付费</t>
  </si>
  <si>
    <t>全部</t>
  </si>
  <si>
    <t>VIP0</t>
  </si>
  <si>
    <t>VIP1</t>
  </si>
  <si>
    <t>VIP2</t>
  </si>
  <si>
    <t>VIP3</t>
  </si>
  <si>
    <t>VIP4</t>
  </si>
  <si>
    <t>VIP5</t>
  </si>
  <si>
    <t>VIP6</t>
  </si>
  <si>
    <t>VIP7</t>
  </si>
  <si>
    <t>VIP8</t>
  </si>
  <si>
    <t>VIP9</t>
  </si>
  <si>
    <t>VIP10</t>
  </si>
  <si>
    <t>VIP11</t>
  </si>
  <si>
    <t>VIP12</t>
  </si>
  <si>
    <t>VIP13</t>
  </si>
  <si>
    <t>VIP14</t>
  </si>
  <si>
    <t>VIP15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</si>
</sst>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3" applyAlignment="1">
      <alignment horizontal="center" vertical="center"/>
    </xf>
    <xf numFmtId="10" fontId="0" fillId="0" borderId="0" xfId="3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9"/>
  <sheetViews>
    <sheetView tabSelected="1" workbookViewId="0">
      <selection activeCell="H1" sqref="H1:X1"/>
    </sheetView>
  </sheetViews>
  <sheetFormatPr defaultColWidth="9.23076923076923" defaultRowHeight="16.8"/>
  <cols>
    <col min="1" max="1" width="10.9230769230769" style="1" customWidth="1"/>
    <col min="2" max="2" width="9.46153846153846" style="1" customWidth="1"/>
    <col min="3" max="3" width="6" style="1" customWidth="1"/>
    <col min="4" max="4" width="10.3076923076923" style="1" customWidth="1"/>
    <col min="5" max="5" width="15.1538461538462" style="1" customWidth="1"/>
    <col min="6" max="6" width="8.15384615384615" style="1" customWidth="1"/>
    <col min="7" max="7" width="15.1538461538462" style="1" customWidth="1"/>
    <col min="8" max="8" width="10.3076923076923" style="1" customWidth="1"/>
    <col min="9" max="9" width="15.1538461538462" style="1" customWidth="1"/>
    <col min="10" max="13" width="10.3076923076923" style="1" customWidth="1"/>
    <col min="14" max="14" width="12.7692307692308" style="1" customWidth="1"/>
    <col min="15" max="16" width="15.1538461538462" style="1" customWidth="1"/>
    <col min="17" max="17" width="17.6153846153846" style="1" customWidth="1"/>
    <col min="18" max="18" width="12.7692307692308" style="1" customWidth="1"/>
    <col min="19" max="21" width="15.1538461538462" style="1" customWidth="1"/>
    <col min="22" max="23" width="8.15384615384615" style="1" customWidth="1"/>
    <col min="24" max="24" width="8.53846153846154" style="1" customWidth="1"/>
    <col min="25" max="29" width="10.3076923076923" style="1" customWidth="1"/>
    <col min="30" max="30" width="9.61538461538461" style="1" customWidth="1"/>
    <col min="31" max="31" width="9.23076923076923" style="1"/>
    <col min="32" max="33" width="10.3076923076923" style="1" customWidth="1"/>
    <col min="34" max="34" width="12.7692307692308" style="1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  <c r="Y1" s="1" t="s">
        <v>5</v>
      </c>
      <c r="AE1" s="1" t="s">
        <v>6</v>
      </c>
    </row>
    <row r="2" spans="1:34"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1" t="s">
        <v>37</v>
      </c>
    </row>
    <row r="3" spans="1:34">
      <c r="A3" s="2">
        <v>46251</v>
      </c>
      <c r="B3" s="1" t="s">
        <v>38</v>
      </c>
      <c r="C3" s="1" t="s">
        <v>39</v>
      </c>
      <c r="D3" s="1">
        <v>10</v>
      </c>
      <c r="E3" s="1">
        <v>10</v>
      </c>
      <c r="F3" s="1">
        <f>D3+E3</f>
        <v>20</v>
      </c>
      <c r="Q3" s="1" t="e">
        <f>O3/N3</f>
        <v>#DIV/0!</v>
      </c>
      <c r="R3" s="1" t="e">
        <f>N3/P3</f>
        <v>#DIV/0!</v>
      </c>
      <c r="S3" s="1" t="e">
        <f>H3/P3</f>
        <v>#DIV/0!</v>
      </c>
      <c r="T3" s="1" t="e">
        <f>I3/H3</f>
        <v>#DIV/0!</v>
      </c>
      <c r="U3" s="1" t="e">
        <f>M3/J3</f>
        <v>#DIV/0!</v>
      </c>
      <c r="V3" s="1">
        <f>K3-L3</f>
        <v>0</v>
      </c>
      <c r="W3" s="3" t="e">
        <f>V3/K3</f>
        <v>#DIV/0!</v>
      </c>
      <c r="AC3" s="1" t="e">
        <f>Z3/Y3</f>
        <v>#DIV/0!</v>
      </c>
      <c r="AD3" s="3" t="e">
        <f>Z3/K3</f>
        <v>#DIV/0!</v>
      </c>
      <c r="AE3" s="1">
        <v>100</v>
      </c>
      <c r="AF3" s="3" t="e">
        <f>AE3/K3</f>
        <v>#DIV/0!</v>
      </c>
      <c r="AG3" s="4">
        <f t="shared" ref="AG3:AG19" si="0">AE3/SUM($AE$3:$AE$19)</f>
        <v>0.588235294117647</v>
      </c>
      <c r="AH3" s="3" t="e">
        <f>(AA3-AE3)/K3</f>
        <v>#DIV/0!</v>
      </c>
    </row>
    <row r="4" spans="1:34">
      <c r="A4" s="2"/>
      <c r="B4" s="1" t="s">
        <v>40</v>
      </c>
      <c r="C4" s="1" t="s">
        <v>39</v>
      </c>
      <c r="D4" s="1">
        <v>100</v>
      </c>
      <c r="E4" s="1">
        <v>-10</v>
      </c>
      <c r="F4" s="1">
        <f t="shared" ref="F4:F19" si="1">D4+E4</f>
        <v>90</v>
      </c>
      <c r="Q4" s="1" t="e">
        <f t="shared" ref="Q4:Q19" si="2">O4/N4</f>
        <v>#DIV/0!</v>
      </c>
      <c r="R4" s="1" t="e">
        <f t="shared" ref="R4:R19" si="3">N4/P4</f>
        <v>#DIV/0!</v>
      </c>
      <c r="S4" s="1" t="e">
        <f t="shared" ref="S4:S19" si="4">H4/P4</f>
        <v>#DIV/0!</v>
      </c>
      <c r="T4" s="1" t="e">
        <f t="shared" ref="T4:T19" si="5">I4/H4</f>
        <v>#DIV/0!</v>
      </c>
      <c r="U4" s="1" t="e">
        <f t="shared" ref="U4:U19" si="6">M4/J4</f>
        <v>#DIV/0!</v>
      </c>
      <c r="V4" s="1">
        <f t="shared" ref="V4:V19" si="7">K4-L4</f>
        <v>0</v>
      </c>
      <c r="W4" s="3" t="e">
        <f t="shared" ref="W4:W19" si="8">V4/K4</f>
        <v>#DIV/0!</v>
      </c>
      <c r="AC4" s="1" t="e">
        <f t="shared" ref="AC4:AC19" si="9">Z4/Y4</f>
        <v>#DIV/0!</v>
      </c>
      <c r="AD4" s="3" t="e">
        <f t="shared" ref="AD4:AD19" si="10">Z4/K4</f>
        <v>#DIV/0!</v>
      </c>
      <c r="AE4" s="1">
        <v>10</v>
      </c>
      <c r="AF4" s="3" t="e">
        <f t="shared" ref="AF4:AF19" si="11">AE4/K4</f>
        <v>#DIV/0!</v>
      </c>
      <c r="AG4" s="4">
        <f t="shared" si="0"/>
        <v>0.0588235294117647</v>
      </c>
      <c r="AH4" s="3" t="e">
        <f t="shared" ref="AH4:AH19" si="12">(AA4-AE4)/K4</f>
        <v>#DIV/0!</v>
      </c>
    </row>
    <row r="5" spans="1:34">
      <c r="A5" s="2"/>
      <c r="B5" s="1" t="s">
        <v>41</v>
      </c>
      <c r="C5" s="1" t="s">
        <v>39</v>
      </c>
      <c r="D5" s="1">
        <v>100</v>
      </c>
      <c r="E5" s="1">
        <v>10</v>
      </c>
      <c r="F5" s="1">
        <f t="shared" si="1"/>
        <v>110</v>
      </c>
      <c r="Q5" s="1" t="e">
        <f t="shared" si="2"/>
        <v>#DIV/0!</v>
      </c>
      <c r="R5" s="1" t="e">
        <f t="shared" si="3"/>
        <v>#DIV/0!</v>
      </c>
      <c r="S5" s="1" t="e">
        <f t="shared" si="4"/>
        <v>#DIV/0!</v>
      </c>
      <c r="T5" s="1" t="e">
        <f t="shared" si="5"/>
        <v>#DIV/0!</v>
      </c>
      <c r="U5" s="1" t="e">
        <f t="shared" si="6"/>
        <v>#DIV/0!</v>
      </c>
      <c r="V5" s="1">
        <f t="shared" si="7"/>
        <v>0</v>
      </c>
      <c r="W5" s="3" t="e">
        <f t="shared" si="8"/>
        <v>#DIV/0!</v>
      </c>
      <c r="AC5" s="1" t="e">
        <f t="shared" si="9"/>
        <v>#DIV/0!</v>
      </c>
      <c r="AD5" s="3" t="e">
        <f t="shared" si="10"/>
        <v>#DIV/0!</v>
      </c>
      <c r="AE5" s="1">
        <v>10</v>
      </c>
      <c r="AF5" s="3" t="e">
        <f t="shared" si="11"/>
        <v>#DIV/0!</v>
      </c>
      <c r="AG5" s="4">
        <f t="shared" si="0"/>
        <v>0.0588235294117647</v>
      </c>
      <c r="AH5" s="3" t="e">
        <f t="shared" si="12"/>
        <v>#DIV/0!</v>
      </c>
    </row>
    <row r="6" spans="1:34">
      <c r="A6" s="2"/>
      <c r="B6" s="1" t="s">
        <v>42</v>
      </c>
      <c r="C6" s="1" t="s">
        <v>39</v>
      </c>
      <c r="F6" s="1">
        <f t="shared" si="1"/>
        <v>0</v>
      </c>
      <c r="Q6" s="1" t="e">
        <f t="shared" si="2"/>
        <v>#DIV/0!</v>
      </c>
      <c r="R6" s="1" t="e">
        <f t="shared" si="3"/>
        <v>#DIV/0!</v>
      </c>
      <c r="S6" s="1" t="e">
        <f t="shared" si="4"/>
        <v>#DIV/0!</v>
      </c>
      <c r="T6" s="1" t="e">
        <f t="shared" si="5"/>
        <v>#DIV/0!</v>
      </c>
      <c r="U6" s="1" t="e">
        <f t="shared" si="6"/>
        <v>#DIV/0!</v>
      </c>
      <c r="V6" s="1">
        <f t="shared" si="7"/>
        <v>0</v>
      </c>
      <c r="W6" s="3" t="e">
        <f t="shared" si="8"/>
        <v>#DIV/0!</v>
      </c>
      <c r="AC6" s="1" t="e">
        <f t="shared" si="9"/>
        <v>#DIV/0!</v>
      </c>
      <c r="AD6" s="3" t="e">
        <f t="shared" si="10"/>
        <v>#DIV/0!</v>
      </c>
      <c r="AE6" s="1">
        <v>10</v>
      </c>
      <c r="AF6" s="3" t="e">
        <f t="shared" si="11"/>
        <v>#DIV/0!</v>
      </c>
      <c r="AG6" s="4">
        <f t="shared" si="0"/>
        <v>0.0588235294117647</v>
      </c>
      <c r="AH6" s="3" t="e">
        <f t="shared" si="12"/>
        <v>#DIV/0!</v>
      </c>
    </row>
    <row r="7" spans="1:34">
      <c r="A7" s="2"/>
      <c r="B7" s="1" t="s">
        <v>43</v>
      </c>
      <c r="C7" s="1" t="s">
        <v>39</v>
      </c>
      <c r="F7" s="1">
        <f t="shared" si="1"/>
        <v>0</v>
      </c>
      <c r="Q7" s="1" t="e">
        <f t="shared" si="2"/>
        <v>#DIV/0!</v>
      </c>
      <c r="R7" s="1" t="e">
        <f t="shared" si="3"/>
        <v>#DIV/0!</v>
      </c>
      <c r="S7" s="1" t="e">
        <f t="shared" si="4"/>
        <v>#DIV/0!</v>
      </c>
      <c r="T7" s="1" t="e">
        <f t="shared" si="5"/>
        <v>#DIV/0!</v>
      </c>
      <c r="U7" s="1" t="e">
        <f t="shared" si="6"/>
        <v>#DIV/0!</v>
      </c>
      <c r="V7" s="1">
        <f t="shared" si="7"/>
        <v>0</v>
      </c>
      <c r="W7" s="3" t="e">
        <f t="shared" si="8"/>
        <v>#DIV/0!</v>
      </c>
      <c r="AC7" s="1" t="e">
        <f t="shared" si="9"/>
        <v>#DIV/0!</v>
      </c>
      <c r="AD7" s="3" t="e">
        <f t="shared" si="10"/>
        <v>#DIV/0!</v>
      </c>
      <c r="AE7" s="1">
        <v>10</v>
      </c>
      <c r="AF7" s="3" t="e">
        <f t="shared" si="11"/>
        <v>#DIV/0!</v>
      </c>
      <c r="AG7" s="4">
        <f t="shared" si="0"/>
        <v>0.0588235294117647</v>
      </c>
      <c r="AH7" s="3" t="e">
        <f t="shared" si="12"/>
        <v>#DIV/0!</v>
      </c>
    </row>
    <row r="8" spans="1:34">
      <c r="A8" s="2"/>
      <c r="B8" s="1" t="s">
        <v>44</v>
      </c>
      <c r="C8" s="1" t="s">
        <v>39</v>
      </c>
      <c r="F8" s="1">
        <f t="shared" si="1"/>
        <v>0</v>
      </c>
      <c r="Q8" s="1" t="e">
        <f t="shared" si="2"/>
        <v>#DIV/0!</v>
      </c>
      <c r="R8" s="1" t="e">
        <f t="shared" si="3"/>
        <v>#DIV/0!</v>
      </c>
      <c r="S8" s="1" t="e">
        <f t="shared" si="4"/>
        <v>#DIV/0!</v>
      </c>
      <c r="T8" s="1" t="e">
        <f t="shared" si="5"/>
        <v>#DIV/0!</v>
      </c>
      <c r="U8" s="1" t="e">
        <f t="shared" si="6"/>
        <v>#DIV/0!</v>
      </c>
      <c r="V8" s="1">
        <f t="shared" si="7"/>
        <v>0</v>
      </c>
      <c r="W8" s="3" t="e">
        <f t="shared" si="8"/>
        <v>#DIV/0!</v>
      </c>
      <c r="AC8" s="1" t="e">
        <f t="shared" si="9"/>
        <v>#DIV/0!</v>
      </c>
      <c r="AD8" s="3" t="e">
        <f t="shared" si="10"/>
        <v>#DIV/0!</v>
      </c>
      <c r="AE8" s="1">
        <v>10</v>
      </c>
      <c r="AF8" s="3" t="e">
        <f t="shared" si="11"/>
        <v>#DIV/0!</v>
      </c>
      <c r="AG8" s="4">
        <f t="shared" si="0"/>
        <v>0.0588235294117647</v>
      </c>
      <c r="AH8" s="3" t="e">
        <f t="shared" si="12"/>
        <v>#DIV/0!</v>
      </c>
    </row>
    <row r="9" spans="1:34">
      <c r="A9" s="2"/>
      <c r="B9" s="1" t="s">
        <v>45</v>
      </c>
      <c r="C9" s="1" t="s">
        <v>39</v>
      </c>
      <c r="F9" s="1">
        <f t="shared" si="1"/>
        <v>0</v>
      </c>
      <c r="Q9" s="1" t="e">
        <f t="shared" si="2"/>
        <v>#DIV/0!</v>
      </c>
      <c r="R9" s="1" t="e">
        <f t="shared" si="3"/>
        <v>#DIV/0!</v>
      </c>
      <c r="S9" s="1" t="e">
        <f t="shared" si="4"/>
        <v>#DIV/0!</v>
      </c>
      <c r="T9" s="1" t="e">
        <f t="shared" si="5"/>
        <v>#DIV/0!</v>
      </c>
      <c r="U9" s="1" t="e">
        <f t="shared" si="6"/>
        <v>#DIV/0!</v>
      </c>
      <c r="V9" s="1">
        <f t="shared" si="7"/>
        <v>0</v>
      </c>
      <c r="W9" s="3" t="e">
        <f t="shared" si="8"/>
        <v>#DIV/0!</v>
      </c>
      <c r="AC9" s="1" t="e">
        <f t="shared" si="9"/>
        <v>#DIV/0!</v>
      </c>
      <c r="AD9" s="3" t="e">
        <f t="shared" si="10"/>
        <v>#DIV/0!</v>
      </c>
      <c r="AE9" s="1">
        <v>10</v>
      </c>
      <c r="AF9" s="3" t="e">
        <f t="shared" si="11"/>
        <v>#DIV/0!</v>
      </c>
      <c r="AG9" s="4">
        <f t="shared" si="0"/>
        <v>0.0588235294117647</v>
      </c>
      <c r="AH9" s="3" t="e">
        <f t="shared" si="12"/>
        <v>#DIV/0!</v>
      </c>
    </row>
    <row r="10" spans="1:34">
      <c r="A10" s="2"/>
      <c r="B10" s="1" t="s">
        <v>46</v>
      </c>
      <c r="C10" s="1" t="s">
        <v>39</v>
      </c>
      <c r="F10" s="1">
        <f t="shared" si="1"/>
        <v>0</v>
      </c>
      <c r="Q10" s="1" t="e">
        <f t="shared" si="2"/>
        <v>#DIV/0!</v>
      </c>
      <c r="R10" s="1" t="e">
        <f t="shared" si="3"/>
        <v>#DIV/0!</v>
      </c>
      <c r="S10" s="1" t="e">
        <f t="shared" si="4"/>
        <v>#DIV/0!</v>
      </c>
      <c r="T10" s="1" t="e">
        <f t="shared" si="5"/>
        <v>#DIV/0!</v>
      </c>
      <c r="U10" s="1" t="e">
        <f t="shared" si="6"/>
        <v>#DIV/0!</v>
      </c>
      <c r="V10" s="1">
        <f t="shared" si="7"/>
        <v>0</v>
      </c>
      <c r="W10" s="3" t="e">
        <f t="shared" si="8"/>
        <v>#DIV/0!</v>
      </c>
      <c r="AC10" s="1" t="e">
        <f t="shared" si="9"/>
        <v>#DIV/0!</v>
      </c>
      <c r="AD10" s="3" t="e">
        <f t="shared" si="10"/>
        <v>#DIV/0!</v>
      </c>
      <c r="AE10" s="1">
        <v>1</v>
      </c>
      <c r="AF10" s="3" t="e">
        <f t="shared" si="11"/>
        <v>#DIV/0!</v>
      </c>
      <c r="AG10" s="4">
        <f t="shared" si="0"/>
        <v>0.00588235294117647</v>
      </c>
      <c r="AH10" s="3" t="e">
        <f t="shared" si="12"/>
        <v>#DIV/0!</v>
      </c>
    </row>
    <row r="11" spans="1:34">
      <c r="A11" s="2"/>
      <c r="B11" s="1" t="s">
        <v>47</v>
      </c>
      <c r="C11" s="1" t="s">
        <v>39</v>
      </c>
      <c r="F11" s="1">
        <f t="shared" si="1"/>
        <v>0</v>
      </c>
      <c r="Q11" s="1" t="e">
        <f t="shared" si="2"/>
        <v>#DIV/0!</v>
      </c>
      <c r="R11" s="1" t="e">
        <f t="shared" si="3"/>
        <v>#DIV/0!</v>
      </c>
      <c r="S11" s="1" t="e">
        <f t="shared" si="4"/>
        <v>#DIV/0!</v>
      </c>
      <c r="T11" s="1" t="e">
        <f t="shared" si="5"/>
        <v>#DIV/0!</v>
      </c>
      <c r="U11" s="1" t="e">
        <f t="shared" si="6"/>
        <v>#DIV/0!</v>
      </c>
      <c r="V11" s="1">
        <f t="shared" si="7"/>
        <v>0</v>
      </c>
      <c r="W11" s="3" t="e">
        <f t="shared" si="8"/>
        <v>#DIV/0!</v>
      </c>
      <c r="AC11" s="1" t="e">
        <f t="shared" si="9"/>
        <v>#DIV/0!</v>
      </c>
      <c r="AD11" s="3" t="e">
        <f t="shared" si="10"/>
        <v>#DIV/0!</v>
      </c>
      <c r="AE11" s="1">
        <v>1</v>
      </c>
      <c r="AF11" s="3" t="e">
        <f t="shared" si="11"/>
        <v>#DIV/0!</v>
      </c>
      <c r="AG11" s="4">
        <f t="shared" si="0"/>
        <v>0.00588235294117647</v>
      </c>
      <c r="AH11" s="3" t="e">
        <f t="shared" si="12"/>
        <v>#DIV/0!</v>
      </c>
    </row>
    <row r="12" spans="1:34">
      <c r="A12" s="2"/>
      <c r="B12" s="1" t="s">
        <v>48</v>
      </c>
      <c r="C12" s="1" t="s">
        <v>39</v>
      </c>
      <c r="F12" s="1">
        <f t="shared" si="1"/>
        <v>0</v>
      </c>
      <c r="Q12" s="1" t="e">
        <f t="shared" si="2"/>
        <v>#DIV/0!</v>
      </c>
      <c r="R12" s="1" t="e">
        <f t="shared" si="3"/>
        <v>#DIV/0!</v>
      </c>
      <c r="S12" s="1" t="e">
        <f t="shared" si="4"/>
        <v>#DIV/0!</v>
      </c>
      <c r="T12" s="1" t="e">
        <f t="shared" si="5"/>
        <v>#DIV/0!</v>
      </c>
      <c r="U12" s="1" t="e">
        <f t="shared" si="6"/>
        <v>#DIV/0!</v>
      </c>
      <c r="V12" s="1">
        <f t="shared" si="7"/>
        <v>0</v>
      </c>
      <c r="W12" s="3" t="e">
        <f t="shared" si="8"/>
        <v>#DIV/0!</v>
      </c>
      <c r="AC12" s="1" t="e">
        <f t="shared" si="9"/>
        <v>#DIV/0!</v>
      </c>
      <c r="AD12" s="3" t="e">
        <f t="shared" si="10"/>
        <v>#DIV/0!</v>
      </c>
      <c r="AE12" s="1">
        <v>1</v>
      </c>
      <c r="AF12" s="3" t="e">
        <f t="shared" si="11"/>
        <v>#DIV/0!</v>
      </c>
      <c r="AG12" s="4">
        <f t="shared" si="0"/>
        <v>0.00588235294117647</v>
      </c>
      <c r="AH12" s="3" t="e">
        <f t="shared" si="12"/>
        <v>#DIV/0!</v>
      </c>
    </row>
    <row r="13" spans="1:34">
      <c r="A13" s="2"/>
      <c r="B13" s="1" t="s">
        <v>49</v>
      </c>
      <c r="C13" s="1" t="s">
        <v>39</v>
      </c>
      <c r="F13" s="1">
        <f t="shared" si="1"/>
        <v>0</v>
      </c>
      <c r="Q13" s="1" t="e">
        <f t="shared" si="2"/>
        <v>#DIV/0!</v>
      </c>
      <c r="R13" s="1" t="e">
        <f t="shared" si="3"/>
        <v>#DIV/0!</v>
      </c>
      <c r="S13" s="1" t="e">
        <f t="shared" si="4"/>
        <v>#DIV/0!</v>
      </c>
      <c r="T13" s="1" t="e">
        <f t="shared" si="5"/>
        <v>#DIV/0!</v>
      </c>
      <c r="U13" s="1" t="e">
        <f t="shared" si="6"/>
        <v>#DIV/0!</v>
      </c>
      <c r="V13" s="1">
        <f t="shared" si="7"/>
        <v>0</v>
      </c>
      <c r="W13" s="3" t="e">
        <f t="shared" si="8"/>
        <v>#DIV/0!</v>
      </c>
      <c r="AC13" s="1" t="e">
        <f t="shared" si="9"/>
        <v>#DIV/0!</v>
      </c>
      <c r="AD13" s="3" t="e">
        <f t="shared" si="10"/>
        <v>#DIV/0!</v>
      </c>
      <c r="AE13" s="1">
        <v>1</v>
      </c>
      <c r="AF13" s="3" t="e">
        <f t="shared" si="11"/>
        <v>#DIV/0!</v>
      </c>
      <c r="AG13" s="4">
        <f t="shared" si="0"/>
        <v>0.00588235294117647</v>
      </c>
      <c r="AH13" s="3" t="e">
        <f t="shared" si="12"/>
        <v>#DIV/0!</v>
      </c>
    </row>
    <row r="14" spans="1:34">
      <c r="A14" s="2"/>
      <c r="B14" s="1" t="s">
        <v>50</v>
      </c>
      <c r="C14" s="1" t="s">
        <v>39</v>
      </c>
      <c r="F14" s="1">
        <f t="shared" si="1"/>
        <v>0</v>
      </c>
      <c r="Q14" s="1" t="e">
        <f t="shared" si="2"/>
        <v>#DIV/0!</v>
      </c>
      <c r="R14" s="1" t="e">
        <f t="shared" si="3"/>
        <v>#DIV/0!</v>
      </c>
      <c r="S14" s="1" t="e">
        <f t="shared" si="4"/>
        <v>#DIV/0!</v>
      </c>
      <c r="T14" s="1" t="e">
        <f t="shared" si="5"/>
        <v>#DIV/0!</v>
      </c>
      <c r="U14" s="1" t="e">
        <f t="shared" si="6"/>
        <v>#DIV/0!</v>
      </c>
      <c r="V14" s="1">
        <f t="shared" si="7"/>
        <v>0</v>
      </c>
      <c r="W14" s="3" t="e">
        <f t="shared" si="8"/>
        <v>#DIV/0!</v>
      </c>
      <c r="AC14" s="1" t="e">
        <f t="shared" si="9"/>
        <v>#DIV/0!</v>
      </c>
      <c r="AD14" s="3" t="e">
        <f t="shared" si="10"/>
        <v>#DIV/0!</v>
      </c>
      <c r="AE14" s="1">
        <v>1</v>
      </c>
      <c r="AF14" s="3" t="e">
        <f t="shared" si="11"/>
        <v>#DIV/0!</v>
      </c>
      <c r="AG14" s="4">
        <f t="shared" si="0"/>
        <v>0.00588235294117647</v>
      </c>
      <c r="AH14" s="3" t="e">
        <f t="shared" si="12"/>
        <v>#DIV/0!</v>
      </c>
    </row>
    <row r="15" spans="1:34">
      <c r="A15" s="2"/>
      <c r="B15" s="1" t="s">
        <v>51</v>
      </c>
      <c r="C15" s="1" t="s">
        <v>39</v>
      </c>
      <c r="F15" s="1">
        <f t="shared" si="1"/>
        <v>0</v>
      </c>
      <c r="Q15" s="1" t="e">
        <f t="shared" si="2"/>
        <v>#DIV/0!</v>
      </c>
      <c r="R15" s="1" t="e">
        <f t="shared" si="3"/>
        <v>#DIV/0!</v>
      </c>
      <c r="S15" s="1" t="e">
        <f t="shared" si="4"/>
        <v>#DIV/0!</v>
      </c>
      <c r="T15" s="1" t="e">
        <f t="shared" si="5"/>
        <v>#DIV/0!</v>
      </c>
      <c r="U15" s="1" t="e">
        <f t="shared" si="6"/>
        <v>#DIV/0!</v>
      </c>
      <c r="V15" s="1">
        <f t="shared" si="7"/>
        <v>0</v>
      </c>
      <c r="W15" s="3" t="e">
        <f t="shared" si="8"/>
        <v>#DIV/0!</v>
      </c>
      <c r="AC15" s="1" t="e">
        <f t="shared" si="9"/>
        <v>#DIV/0!</v>
      </c>
      <c r="AD15" s="3" t="e">
        <f t="shared" si="10"/>
        <v>#DIV/0!</v>
      </c>
      <c r="AE15" s="1">
        <v>1</v>
      </c>
      <c r="AF15" s="3" t="e">
        <f t="shared" si="11"/>
        <v>#DIV/0!</v>
      </c>
      <c r="AG15" s="4">
        <f t="shared" si="0"/>
        <v>0.00588235294117647</v>
      </c>
      <c r="AH15" s="3" t="e">
        <f t="shared" si="12"/>
        <v>#DIV/0!</v>
      </c>
    </row>
    <row r="16" spans="1:34">
      <c r="A16" s="2"/>
      <c r="B16" s="1" t="s">
        <v>52</v>
      </c>
      <c r="C16" s="1" t="s">
        <v>39</v>
      </c>
      <c r="F16" s="1">
        <f t="shared" si="1"/>
        <v>0</v>
      </c>
      <c r="Q16" s="1" t="e">
        <f t="shared" si="2"/>
        <v>#DIV/0!</v>
      </c>
      <c r="R16" s="1" t="e">
        <f t="shared" si="3"/>
        <v>#DIV/0!</v>
      </c>
      <c r="S16" s="1" t="e">
        <f t="shared" si="4"/>
        <v>#DIV/0!</v>
      </c>
      <c r="T16" s="1" t="e">
        <f t="shared" si="5"/>
        <v>#DIV/0!</v>
      </c>
      <c r="U16" s="1" t="e">
        <f t="shared" si="6"/>
        <v>#DIV/0!</v>
      </c>
      <c r="V16" s="1">
        <f t="shared" si="7"/>
        <v>0</v>
      </c>
      <c r="W16" s="3" t="e">
        <f t="shared" si="8"/>
        <v>#DIV/0!</v>
      </c>
      <c r="AC16" s="1" t="e">
        <f t="shared" si="9"/>
        <v>#DIV/0!</v>
      </c>
      <c r="AD16" s="3" t="e">
        <f t="shared" si="10"/>
        <v>#DIV/0!</v>
      </c>
      <c r="AE16" s="1">
        <v>1</v>
      </c>
      <c r="AF16" s="3" t="e">
        <f t="shared" si="11"/>
        <v>#DIV/0!</v>
      </c>
      <c r="AG16" s="4">
        <f t="shared" si="0"/>
        <v>0.00588235294117647</v>
      </c>
      <c r="AH16" s="3" t="e">
        <f t="shared" si="12"/>
        <v>#DIV/0!</v>
      </c>
    </row>
    <row r="17" spans="1:34">
      <c r="A17" s="2"/>
      <c r="B17" s="1" t="s">
        <v>53</v>
      </c>
      <c r="C17" s="1" t="s">
        <v>39</v>
      </c>
      <c r="F17" s="1">
        <f t="shared" si="1"/>
        <v>0</v>
      </c>
      <c r="Q17" s="1" t="e">
        <f t="shared" si="2"/>
        <v>#DIV/0!</v>
      </c>
      <c r="R17" s="1" t="e">
        <f t="shared" si="3"/>
        <v>#DIV/0!</v>
      </c>
      <c r="S17" s="1" t="e">
        <f t="shared" si="4"/>
        <v>#DIV/0!</v>
      </c>
      <c r="T17" s="1" t="e">
        <f t="shared" si="5"/>
        <v>#DIV/0!</v>
      </c>
      <c r="U17" s="1" t="e">
        <f t="shared" si="6"/>
        <v>#DIV/0!</v>
      </c>
      <c r="V17" s="1">
        <f t="shared" si="7"/>
        <v>0</v>
      </c>
      <c r="W17" s="3" t="e">
        <f t="shared" si="8"/>
        <v>#DIV/0!</v>
      </c>
      <c r="AC17" s="1" t="e">
        <f t="shared" si="9"/>
        <v>#DIV/0!</v>
      </c>
      <c r="AD17" s="3" t="e">
        <f t="shared" si="10"/>
        <v>#DIV/0!</v>
      </c>
      <c r="AE17" s="1">
        <v>1</v>
      </c>
      <c r="AF17" s="3" t="e">
        <f t="shared" si="11"/>
        <v>#DIV/0!</v>
      </c>
      <c r="AG17" s="4">
        <f t="shared" si="0"/>
        <v>0.00588235294117647</v>
      </c>
      <c r="AH17" s="3" t="e">
        <f t="shared" si="12"/>
        <v>#DIV/0!</v>
      </c>
    </row>
    <row r="18" spans="1:34">
      <c r="A18" s="2"/>
      <c r="B18" s="1" t="s">
        <v>54</v>
      </c>
      <c r="C18" s="1" t="s">
        <v>39</v>
      </c>
      <c r="F18" s="1">
        <f t="shared" si="1"/>
        <v>0</v>
      </c>
      <c r="Q18" s="1" t="e">
        <f t="shared" si="2"/>
        <v>#DIV/0!</v>
      </c>
      <c r="R18" s="1" t="e">
        <f t="shared" si="3"/>
        <v>#DIV/0!</v>
      </c>
      <c r="S18" s="1" t="e">
        <f t="shared" si="4"/>
        <v>#DIV/0!</v>
      </c>
      <c r="T18" s="1" t="e">
        <f t="shared" si="5"/>
        <v>#DIV/0!</v>
      </c>
      <c r="U18" s="1" t="e">
        <f t="shared" si="6"/>
        <v>#DIV/0!</v>
      </c>
      <c r="V18" s="1">
        <f t="shared" si="7"/>
        <v>0</v>
      </c>
      <c r="W18" s="3" t="e">
        <f t="shared" si="8"/>
        <v>#DIV/0!</v>
      </c>
      <c r="AC18" s="1" t="e">
        <f t="shared" si="9"/>
        <v>#DIV/0!</v>
      </c>
      <c r="AD18" s="3" t="e">
        <f t="shared" si="10"/>
        <v>#DIV/0!</v>
      </c>
      <c r="AE18" s="1">
        <v>1</v>
      </c>
      <c r="AF18" s="3" t="e">
        <f t="shared" si="11"/>
        <v>#DIV/0!</v>
      </c>
      <c r="AG18" s="4">
        <f t="shared" si="0"/>
        <v>0.00588235294117647</v>
      </c>
      <c r="AH18" s="3" t="e">
        <f t="shared" si="12"/>
        <v>#DIV/0!</v>
      </c>
    </row>
    <row r="19" spans="1:34">
      <c r="A19" s="2"/>
      <c r="B19" s="1" t="s">
        <v>55</v>
      </c>
      <c r="C19" s="1" t="s">
        <v>39</v>
      </c>
      <c r="F19" s="1">
        <f t="shared" si="1"/>
        <v>0</v>
      </c>
      <c r="Q19" s="1" t="e">
        <f t="shared" si="2"/>
        <v>#DIV/0!</v>
      </c>
      <c r="R19" s="1" t="e">
        <f t="shared" si="3"/>
        <v>#DIV/0!</v>
      </c>
      <c r="S19" s="1" t="e">
        <f t="shared" si="4"/>
        <v>#DIV/0!</v>
      </c>
      <c r="T19" s="1" t="e">
        <f t="shared" si="5"/>
        <v>#DIV/0!</v>
      </c>
      <c r="U19" s="1" t="e">
        <f t="shared" si="6"/>
        <v>#DIV/0!</v>
      </c>
      <c r="V19" s="1">
        <f t="shared" si="7"/>
        <v>0</v>
      </c>
      <c r="W19" s="3" t="e">
        <f t="shared" si="8"/>
        <v>#DIV/0!</v>
      </c>
      <c r="AC19" s="1" t="e">
        <f t="shared" si="9"/>
        <v>#DIV/0!</v>
      </c>
      <c r="AD19" s="3" t="e">
        <f t="shared" si="10"/>
        <v>#DIV/0!</v>
      </c>
      <c r="AE19" s="1">
        <v>1</v>
      </c>
      <c r="AF19" s="3" t="e">
        <f t="shared" si="11"/>
        <v>#DIV/0!</v>
      </c>
      <c r="AG19" s="4">
        <f t="shared" si="0"/>
        <v>0.00588235294117647</v>
      </c>
      <c r="AH19" s="3" t="e">
        <f t="shared" si="12"/>
        <v>#DIV/0!</v>
      </c>
    </row>
  </sheetData>
  <mergeCells count="8">
    <mergeCell ref="D1:G1"/>
    <mergeCell ref="H1:X1"/>
    <mergeCell ref="Y1:AD1"/>
    <mergeCell ref="AE1:AH1"/>
    <mergeCell ref="A1:A2"/>
    <mergeCell ref="A3:A19"/>
    <mergeCell ref="B1:B2"/>
    <mergeCell ref="C1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</dc:creator>
  <cp:lastModifiedBy>8866 ali</cp:lastModifiedBy>
  <dcterms:created xsi:type="dcterms:W3CDTF">2026-08-18T20:41:16Z</dcterms:created>
  <dcterms:modified xsi:type="dcterms:W3CDTF">2026-08-18T21:08:02Z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D8543E51024851232C8B846A7A3BDD10_41</vt:lpwstr>
  </property>
  <property fmtid="{D5CDD505-2E9C-101B-9397-08002B2CF9AE}" pid="3" name="KSOProductBuildVer">
    <vt:lpwstr>2052-12.1.26050.26050</vt:lpwstr>
  </property>
  <property fmtid="{D5CDD505-2E9C-101B-9397-08002B2CF9AE}" pid="4" name="CalculationRule">
    <vt:i4>1</vt:i4>
  </property>
</Properties>
</file>